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COO\Desktop\NSP.COM\DISPATCH RECORDS\DAILY PLANT STATUS FOR 2026\8 - DAILY PLANT STATUS FOR AUGUST 2026\"/>
    </mc:Choice>
  </mc:AlternateContent>
  <xr:revisionPtr revIDLastSave="0" documentId="13_ncr:1_{7A06B755-515E-4A26-BA21-59348979E145}" xr6:coauthVersionLast="47" xr6:coauthVersionMax="47" xr10:uidLastSave="{00000000-0000-0000-0000-000000000000}"/>
  <bookViews>
    <workbookView xWindow="-108" yWindow="-108" windowWidth="23256" windowHeight="14856" xr2:uid="{A6BF733C-AE98-47EA-B4A4-E41EA60444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6" i="1" l="1"/>
  <c r="L16" i="1" s="1"/>
  <c r="J15" i="1"/>
  <c r="L15" i="1" s="1"/>
  <c r="J14" i="1"/>
  <c r="L14" i="1" s="1"/>
  <c r="E18" i="1"/>
  <c r="N27" i="1" l="1"/>
  <c r="P27" i="1" s="1"/>
  <c r="L26" i="1"/>
  <c r="J17" i="1" l="1"/>
  <c r="F18" i="1"/>
  <c r="J18" i="1" l="1"/>
  <c r="K18" i="1"/>
  <c r="J21" i="1" s="1"/>
  <c r="D18" i="1"/>
  <c r="C18" i="1"/>
  <c r="E22" i="1" l="1"/>
  <c r="P22" i="1" s="1"/>
  <c r="J22" i="1"/>
  <c r="M22" i="1" l="1"/>
  <c r="L18" i="1"/>
</calcChain>
</file>

<file path=xl/sharedStrings.xml><?xml version="1.0" encoding="utf-8"?>
<sst xmlns="http://schemas.openxmlformats.org/spreadsheetml/2006/main" count="57" uniqueCount="53">
  <si>
    <t>FAO: EVC</t>
  </si>
  <si>
    <t>A: GENERATION</t>
  </si>
  <si>
    <t>PREVIOUS DAY RECORDS</t>
  </si>
  <si>
    <t>TOTAL HOURS RUN</t>
  </si>
  <si>
    <t>EXPECTED GENERATION (MWh)</t>
  </si>
  <si>
    <t>ACTUAL GENERATION (MWh)</t>
  </si>
  <si>
    <t>ENERGY DEFICIT (DERATED GENERATION) (MWh)</t>
  </si>
  <si>
    <t>DERATED HOURS</t>
  </si>
  <si>
    <t>COMMENTS</t>
  </si>
  <si>
    <t>UNITS</t>
  </si>
  <si>
    <t>AVAILABLE CAPACITY (MW)</t>
  </si>
  <si>
    <t>DECLARED CAPACITY (MW)</t>
  </si>
  <si>
    <t>LOAD AT 06.00HRS (MW)</t>
  </si>
  <si>
    <t>411G1</t>
  </si>
  <si>
    <t>411G4</t>
  </si>
  <si>
    <t>TOTAL</t>
  </si>
  <si>
    <t>Station Service Consumption (MWh)</t>
  </si>
  <si>
    <t>Energy Sent Out (MWh)</t>
  </si>
  <si>
    <t>Maximum Load Generated (MW)</t>
  </si>
  <si>
    <t>@</t>
  </si>
  <si>
    <t>Average Generation for the Day (MW)</t>
  </si>
  <si>
    <t>Plant Water to Power Ratio</t>
  </si>
  <si>
    <t>Station Water to Power Ratio</t>
  </si>
  <si>
    <t>STORAGE</t>
  </si>
  <si>
    <t>Head Water</t>
  </si>
  <si>
    <t>Average Computed Inflow</t>
  </si>
  <si>
    <t>% Live Volume Available</t>
  </si>
  <si>
    <t>Tail Water</t>
  </si>
  <si>
    <t>Average Turbine Discharge</t>
  </si>
  <si>
    <t>Gross Operating Head</t>
  </si>
  <si>
    <t>Storage Differential</t>
  </si>
  <si>
    <t>ELEVATIONS (m)</t>
  </si>
  <si>
    <t>Declared Capacity Utilization (%)</t>
  </si>
  <si>
    <t>DECLARED HOURS</t>
  </si>
  <si>
    <t>PRESENT DAY RECORDS</t>
  </si>
  <si>
    <t>Spillage /       Gate Overflow over the past 24 hours</t>
  </si>
  <si>
    <t>Average Station Total Discharge over the past 24 hours</t>
  </si>
  <si>
    <r>
      <t>FLOWS (m</t>
    </r>
    <r>
      <rPr>
        <b/>
        <vertAlign val="superscript"/>
        <sz val="10"/>
        <color theme="1"/>
        <rFont val="Calibri"/>
        <family val="2"/>
        <scheme val="minor"/>
      </rPr>
      <t>3</t>
    </r>
    <r>
      <rPr>
        <b/>
        <sz val="10"/>
        <color theme="1"/>
        <rFont val="Calibri"/>
        <family val="2"/>
        <scheme val="minor"/>
      </rPr>
      <t>/s)</t>
    </r>
  </si>
  <si>
    <t>411G3</t>
  </si>
  <si>
    <t>411G2</t>
  </si>
  <si>
    <t xml:space="preserve"> </t>
  </si>
  <si>
    <t>The two available dewatering pump Nos. 1 and 2 had issues in quick succession when deployed to dewater unit 411G3 draft tube. Pump No. 2 had seal failure on Tuesday 07/01/25 but has been replaced with a refurbished pump and put to use. Pump No. 1 on Wednesday 08/01/25 draws high current in service. Maintenace team has investigated this trend. A test-run will be scheduled after a faulty monorail is replaced with a new one for safe materials handling. Mono-rail has been supplied, installed, tested and commissioned. Work on the unwatering pumps will continue when manpower needs of the overhaul project reduces. Work has resumed and unwatering pumps 2 and 4 are now available.</t>
  </si>
  <si>
    <t>Francoray Dive and Marine Services Limited has carried out a comprehensive inspection of Unit 411G4 Penstock from 25/01/24 to 15/03/24. A formal report on the inspection project has been produced, and discussed on Wednesday 24/04/24. TRACTEBEL ENGINEERING Consultants were on site from Wednesday 29/05/24 to Thursday 30/05/24 to assess requirements and provide Engineering Services for restoration of the penstock. Inspections were carried out from both the scroll case and power intake ends of the penstock. Preliminary reports have been submitted. Tractebel is now developing a technical soluton for restoration of unit 411G4 penstock.</t>
  </si>
  <si>
    <t>cc: COO, CTO, ED (O&amp;SD), ED (F&amp;SD)</t>
  </si>
  <si>
    <t>Unit 411G2 Governor oil pump No. 1 was observed making abnormal noise and was repplaced with another governor oil pump taken from unit 411G4. After installation, this replacement could no respond to both manual and auto schemes. Investigation is continuing. Meanshile, unit 411G2 was returned to service at 18.27hrs of 02/07/26 after the 1800 service hours inspection and maintenance, running on governor oil pump No 2 alone. Further tests will be carried out during the next 1800 service hours inspection and maintenance of the unit (when reservoir draw-down commences in the current year 2026).</t>
  </si>
  <si>
    <t>DAILY OPERATIONAL REPORT FOR 09 AUGUST 2026</t>
  </si>
  <si>
    <t>B: HYDROLOGICAL DATA AS AT 08 AUGUST 2026</t>
  </si>
  <si>
    <t>19.15hrs</t>
  </si>
  <si>
    <t>The reservoir attained the Ogee level of 365.85masl in the early hours of Saturday 08/08/26 in the current Year 2026 reservoir filling cycle.</t>
  </si>
  <si>
    <t>The reservoir head water elevation rose to 366.10masl at 18.00hrs of Saturday 08/08/26, giving a gross operating head of 95.10m with a tail water elevation of 271.00masl. Consequwntly, the units can now deliver the rateed capacity of 150MW each. This has been reflected in our avilable capacity declaratons to the NCC from today 09/08/26.</t>
  </si>
  <si>
    <t>Unit operated overnight and all morning on loads ranging from 122.16MW to 133.73MW on free governor response. Unit is currently loaded to 133.45MW still on free governor response (50.27Hz at 14.00hrs of 09/08/26).</t>
  </si>
  <si>
    <t>Unit operated overnight and all morning on loads ranging from 123.41MW to 142.17MW on free governor response. Unit is currently loaded to 137.61MW still on free governor response (50.27Hz at 14.00hrs of 09/08/26).</t>
  </si>
  <si>
    <t>Unit operated overnight and all morning on loads ranging from 113.21MW to 141.21MW on free governor response. Unit is currently loaded to 141.21MW still on free governor response (50.27Hz at 14.00hrs of 09/08/26).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</si>
</sst>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b/>
      <sz val="10"/>
      <name val="Calibri"/>
      <family val="2"/>
      <scheme val="minor"/>
    </font>
    <font>
      <sz val="10"/>
      <name val="Calibri"/>
      <family val="2"/>
      <scheme val="minor"/>
    </font>
    <font>
      <sz val="11"/>
      <name val="Calibri"/>
      <family val="2"/>
      <scheme val="minor"/>
    </font>
    <font>
      <b/>
      <vertAlign val="superscript"/>
      <sz val="10"/>
      <color theme="1"/>
      <name val="Calibri"/>
      <family val="2"/>
      <scheme val="minor"/>
    </font>
    <font>
      <b/>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1"/>
        <bgColor indexed="64"/>
      </patternFill>
    </fill>
    <fill>
      <patternFill patternType="solid">
        <fgColor them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1">
    <xf numFmtId="0" fontId="0" fillId="0" borderId="0" xfId="0"/>
    <xf numFmtId="0" fontId="2" fillId="0" borderId="0" xfId="0" applyFont="1"/>
    <xf numFmtId="4" fontId="3" fillId="0" borderId="1" xfId="0" applyNumberFormat="1" applyFont="1" applyBorder="1"/>
    <xf numFmtId="3" fontId="3" fillId="0" borderId="1" xfId="0" applyNumberFormat="1" applyFont="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3" borderId="1" xfId="0" applyFont="1" applyFill="1" applyBorder="1"/>
    <xf numFmtId="4" fontId="5" fillId="0" borderId="1" xfId="0" applyNumberFormat="1" applyFont="1" applyBorder="1"/>
    <xf numFmtId="0" fontId="3" fillId="4" borderId="1" xfId="0" applyFont="1" applyFill="1" applyBorder="1" applyAlignment="1">
      <alignment horizontal="center" vertical="center" wrapText="1"/>
    </xf>
    <xf numFmtId="0" fontId="2" fillId="4" borderId="1" xfId="0" applyFont="1" applyFill="1" applyBorder="1" applyAlignment="1">
      <alignment horizontal="center"/>
    </xf>
    <xf numFmtId="0" fontId="5" fillId="2" borderId="1" xfId="0" applyFont="1" applyFill="1" applyBorder="1" applyAlignment="1">
      <alignment horizontal="left" vertical="center" wrapText="1"/>
    </xf>
    <xf numFmtId="3" fontId="5" fillId="0" borderId="1" xfId="0" applyNumberFormat="1" applyFont="1" applyBorder="1" applyAlignment="1">
      <alignment horizontal="right" vertical="center"/>
    </xf>
    <xf numFmtId="0" fontId="6" fillId="2" borderId="1" xfId="0" applyFont="1" applyFill="1" applyBorder="1" applyAlignment="1">
      <alignment horizontal="center"/>
    </xf>
    <xf numFmtId="4" fontId="5" fillId="0" borderId="1" xfId="0" applyNumberFormat="1" applyFont="1" applyBorder="1" applyAlignment="1">
      <alignment horizontal="center"/>
    </xf>
    <xf numFmtId="0" fontId="6" fillId="0" borderId="0" xfId="0" applyFont="1"/>
    <xf numFmtId="0" fontId="6" fillId="0" borderId="0" xfId="0" applyFont="1" applyAlignment="1">
      <alignment horizontal="right"/>
    </xf>
    <xf numFmtId="4" fontId="1" fillId="0" borderId="1" xfId="0" applyNumberFormat="1" applyFont="1" applyBorder="1"/>
    <xf numFmtId="0" fontId="6" fillId="3" borderId="1" xfId="0" applyFont="1" applyFill="1" applyBorder="1" applyAlignment="1">
      <alignment horizontal="right"/>
    </xf>
    <xf numFmtId="4" fontId="6" fillId="3" borderId="1" xfId="0" applyNumberFormat="1" applyFont="1" applyFill="1" applyBorder="1" applyAlignment="1">
      <alignment horizontal="right"/>
    </xf>
    <xf numFmtId="4" fontId="5" fillId="3" borderId="1" xfId="0" applyNumberFormat="1" applyFont="1" applyFill="1" applyBorder="1" applyAlignment="1">
      <alignment horizontal="right"/>
    </xf>
    <xf numFmtId="4" fontId="6" fillId="4" borderId="1" xfId="0" applyNumberFormat="1" applyFont="1" applyFill="1" applyBorder="1" applyAlignment="1">
      <alignment horizontal="right"/>
    </xf>
    <xf numFmtId="4" fontId="5" fillId="4" borderId="1" xfId="0" applyNumberFormat="1" applyFont="1" applyFill="1" applyBorder="1" applyAlignment="1">
      <alignment horizontal="right"/>
    </xf>
    <xf numFmtId="0" fontId="7" fillId="0" borderId="0" xfId="0" applyFont="1"/>
    <xf numFmtId="0" fontId="9" fillId="0" borderId="0" xfId="0" applyFont="1"/>
    <xf numFmtId="4" fontId="6" fillId="2" borderId="1" xfId="0" applyNumberFormat="1" applyFont="1" applyFill="1" applyBorder="1" applyAlignment="1">
      <alignment horizontal="right"/>
    </xf>
    <xf numFmtId="4" fontId="6" fillId="2" borderId="1" xfId="0" applyNumberFormat="1" applyFont="1" applyFill="1" applyBorder="1"/>
    <xf numFmtId="4" fontId="5" fillId="2" borderId="1" xfId="0" applyNumberFormat="1" applyFont="1" applyFill="1" applyBorder="1" applyAlignment="1">
      <alignment horizontal="right"/>
    </xf>
    <xf numFmtId="4" fontId="9" fillId="2" borderId="1" xfId="0" applyNumberFormat="1" applyFont="1" applyFill="1" applyBorder="1" applyAlignment="1">
      <alignment horizontal="right"/>
    </xf>
    <xf numFmtId="0" fontId="5" fillId="0" borderId="1" xfId="0" applyFont="1" applyBorder="1" applyAlignment="1">
      <alignment horizontal="right" vertical="center"/>
    </xf>
    <xf numFmtId="4" fontId="6" fillId="4" borderId="2" xfId="0" applyNumberFormat="1" applyFont="1" applyFill="1" applyBorder="1" applyAlignment="1">
      <alignment horizontal="center" vertical="center" wrapText="1"/>
    </xf>
    <xf numFmtId="4" fontId="6" fillId="4" borderId="3" xfId="0" applyNumberFormat="1" applyFont="1" applyFill="1" applyBorder="1" applyAlignment="1">
      <alignment horizontal="center" vertical="center" wrapText="1"/>
    </xf>
    <xf numFmtId="4" fontId="6" fillId="4" borderId="4" xfId="0" applyNumberFormat="1" applyFont="1" applyFill="1" applyBorder="1" applyAlignment="1">
      <alignment horizontal="center" vertical="center" wrapText="1"/>
    </xf>
    <xf numFmtId="0" fontId="0" fillId="0" borderId="0" xfId="0"/>
    <xf numFmtId="0" fontId="1" fillId="0" borderId="0" xfId="0" applyFont="1" applyAlignment="1">
      <alignment horizontal="center"/>
    </xf>
    <xf numFmtId="0" fontId="9" fillId="0" borderId="0" xfId="0" applyFont="1"/>
    <xf numFmtId="0" fontId="3" fillId="4" borderId="2" xfId="0" applyFont="1"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3" xfId="0" applyBorder="1" applyAlignment="1">
      <alignment horizontal="center" wrapText="1"/>
    </xf>
    <xf numFmtId="0" fontId="0" fillId="0" borderId="4" xfId="0" applyBorder="1" applyAlignment="1">
      <alignment horizontal="center" wrapText="1"/>
    </xf>
    <xf numFmtId="0" fontId="3" fillId="4" borderId="1" xfId="0" applyFont="1" applyFill="1" applyBorder="1" applyAlignment="1">
      <alignment horizontal="center" vertical="center" wrapText="1"/>
    </xf>
    <xf numFmtId="3" fontId="5" fillId="0" borderId="2" xfId="0" applyNumberFormat="1" applyFont="1" applyBorder="1" applyAlignment="1">
      <alignment horizontal="right" vertical="center" wrapText="1"/>
    </xf>
    <xf numFmtId="0" fontId="7" fillId="0" borderId="4" xfId="0" applyFont="1" applyBorder="1" applyAlignment="1">
      <alignment horizontal="right" vertical="center" wrapText="1"/>
    </xf>
    <xf numFmtId="4" fontId="5" fillId="2" borderId="2" xfId="0" applyNumberFormat="1" applyFont="1" applyFill="1" applyBorder="1" applyAlignment="1">
      <alignment wrapText="1"/>
    </xf>
    <xf numFmtId="0" fontId="7" fillId="2" borderId="3" xfId="0" applyFont="1" applyFill="1" applyBorder="1" applyAlignment="1">
      <alignment wrapText="1"/>
    </xf>
    <xf numFmtId="0" fontId="7" fillId="2" borderId="4" xfId="0" applyFont="1" applyFill="1" applyBorder="1" applyAlignment="1">
      <alignment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0" fillId="0" borderId="4" xfId="0" applyBorder="1" applyAlignment="1">
      <alignment horizontal="left" vertical="center" wrapText="1"/>
    </xf>
    <xf numFmtId="164" fontId="5" fillId="0" borderId="2" xfId="0" applyNumberFormat="1" applyFont="1" applyBorder="1" applyAlignment="1">
      <alignment wrapText="1"/>
    </xf>
    <xf numFmtId="164" fontId="7" fillId="0" borderId="4" xfId="0" applyNumberFormat="1" applyFont="1" applyBorder="1" applyAlignment="1">
      <alignment wrapText="1"/>
    </xf>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4" fontId="6" fillId="3" borderId="1" xfId="0" applyNumberFormat="1" applyFont="1" applyFill="1" applyBorder="1" applyAlignment="1">
      <alignment horizontal="center" wrapText="1"/>
    </xf>
    <xf numFmtId="0" fontId="6" fillId="3" borderId="1" xfId="0" applyFont="1" applyFill="1" applyBorder="1" applyAlignment="1">
      <alignment horizontal="center" wrapText="1"/>
    </xf>
    <xf numFmtId="0" fontId="2" fillId="2" borderId="1" xfId="0" applyFont="1" applyFill="1" applyBorder="1" applyAlignment="1">
      <alignment wrapText="1"/>
    </xf>
    <xf numFmtId="0" fontId="6" fillId="2" borderId="1" xfId="0" applyFont="1" applyFill="1" applyBorder="1"/>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0" fillId="0" borderId="4" xfId="0" applyBorder="1" applyAlignment="1">
      <alignment horizontal="left" wrapText="1"/>
    </xf>
    <xf numFmtId="0" fontId="3" fillId="2" borderId="1" xfId="0" applyFont="1" applyFill="1" applyBorder="1"/>
    <xf numFmtId="0" fontId="6" fillId="2" borderId="1" xfId="0" applyFont="1" applyFill="1" applyBorder="1" applyAlignment="1">
      <alignment wrapText="1"/>
    </xf>
    <xf numFmtId="4" fontId="5" fillId="0" borderId="2" xfId="0" applyNumberFormat="1" applyFont="1" applyBorder="1" applyAlignment="1">
      <alignment wrapText="1"/>
    </xf>
    <xf numFmtId="4" fontId="7" fillId="0" borderId="4" xfId="0" applyNumberFormat="1" applyFont="1" applyBorder="1" applyAlignment="1">
      <alignment wrapText="1"/>
    </xf>
    <xf numFmtId="4" fontId="5" fillId="2" borderId="2" xfId="0" applyNumberFormat="1" applyFont="1" applyFill="1" applyBorder="1"/>
    <xf numFmtId="0" fontId="7" fillId="2" borderId="3" xfId="0" applyFont="1" applyFill="1" applyBorder="1"/>
    <xf numFmtId="0" fontId="7" fillId="2" borderId="4" xfId="0" applyFont="1" applyFill="1" applyBorder="1"/>
    <xf numFmtId="0" fontId="3" fillId="2" borderId="1" xfId="0" applyFont="1" applyFill="1" applyBorder="1" applyAlignment="1">
      <alignment horizontal="left" vertical="center"/>
    </xf>
    <xf numFmtId="0" fontId="0" fillId="2" borderId="1" xfId="0" applyFill="1" applyBorder="1" applyAlignment="1">
      <alignment horizontal="left" vertical="center"/>
    </xf>
    <xf numFmtId="0" fontId="3" fillId="2" borderId="2" xfId="0" applyFont="1" applyFill="1" applyBorder="1" applyAlignment="1">
      <alignment wrapText="1"/>
    </xf>
    <xf numFmtId="0" fontId="3" fillId="2" borderId="3" xfId="0" applyFont="1" applyFill="1" applyBorder="1" applyAlignment="1">
      <alignment wrapText="1"/>
    </xf>
    <xf numFmtId="0" fontId="0" fillId="0" borderId="4" xfId="0" applyBorder="1" applyAlignment="1">
      <alignment wrapText="1"/>
    </xf>
    <xf numFmtId="0" fontId="0" fillId="0" borderId="2" xfId="0"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99060</xdr:colOff>
          <xdr:row>1</xdr:row>
          <xdr:rowOff>53340</xdr:rowOff>
        </xdr:from>
        <xdr:to>
          <xdr:col>16</xdr:col>
          <xdr:colOff>45720</xdr:colOff>
          <xdr:row>5</xdr:row>
          <xdr:rowOff>7620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B334-13E2-4BBA-AB57-752E7468E7EF}">
  <sheetPr>
    <pageSetUpPr fitToPage="1"/>
  </sheetPr>
  <dimension ref="B1:P36"/>
  <sheetViews>
    <sheetView tabSelected="1" topLeftCell="A14" zoomScale="97" zoomScaleNormal="97" workbookViewId="0">
      <selection activeCell="M17" sqref="M17:P17"/>
    </sheetView>
  </sheetViews>
  <sheetFormatPr defaultRowHeight="14.4" x14ac:dyDescent="0.3"/>
  <cols>
    <col min="1" max="1" width="1.77734375" customWidth="1"/>
    <col min="3" max="3" width="9.44140625" customWidth="1"/>
    <col min="4" max="4" width="11.33203125" customWidth="1"/>
    <col min="5" max="5" width="8.6640625" customWidth="1"/>
    <col min="6" max="7" width="9.88671875" customWidth="1"/>
    <col min="9" max="9" width="18.33203125" customWidth="1"/>
    <col min="10" max="10" width="13.5546875" customWidth="1"/>
    <col min="11" max="11" width="13.6640625" customWidth="1"/>
    <col min="12" max="12" width="17.21875" customWidth="1"/>
    <col min="13" max="13" width="10.88671875" customWidth="1"/>
    <col min="14" max="14" width="7.77734375" customWidth="1"/>
    <col min="15" max="15" width="17.6640625" customWidth="1"/>
    <col min="16" max="16" width="40.5546875" customWidth="1"/>
  </cols>
  <sheetData>
    <row r="1" spans="2:16" x14ac:dyDescent="0.3">
      <c r="B1" s="37"/>
      <c r="C1" s="37"/>
      <c r="D1" s="37"/>
      <c r="E1" s="37"/>
      <c r="F1" s="37"/>
      <c r="G1" s="37"/>
      <c r="H1" s="37"/>
      <c r="I1" s="37"/>
      <c r="J1" s="37"/>
      <c r="K1" s="37"/>
      <c r="L1" s="37"/>
      <c r="M1" s="37"/>
      <c r="N1" s="37"/>
      <c r="O1" s="37"/>
      <c r="P1" s="37"/>
    </row>
    <row r="2" spans="2:16" ht="7.5" customHeight="1" x14ac:dyDescent="0.3"/>
    <row r="4" spans="2:16" ht="31.05" customHeight="1" x14ac:dyDescent="0.3"/>
    <row r="5" spans="2:16" ht="18" customHeight="1" x14ac:dyDescent="0.3"/>
    <row r="7" spans="2:16" x14ac:dyDescent="0.3">
      <c r="B7" s="27"/>
      <c r="C7" s="27"/>
      <c r="D7" s="27"/>
      <c r="E7" s="27"/>
      <c r="F7" s="27"/>
      <c r="G7" s="27"/>
      <c r="H7" s="27"/>
      <c r="I7" s="27"/>
      <c r="J7" s="27"/>
      <c r="L7" s="38" t="s">
        <v>0</v>
      </c>
      <c r="M7" s="38"/>
      <c r="N7" s="38"/>
      <c r="O7" s="38"/>
      <c r="P7" s="38"/>
    </row>
    <row r="8" spans="2:16" x14ac:dyDescent="0.3">
      <c r="B8" s="27"/>
      <c r="C8" s="27"/>
      <c r="D8" s="27"/>
      <c r="E8" s="27"/>
      <c r="F8" s="27"/>
      <c r="G8" s="27"/>
      <c r="H8" s="27"/>
      <c r="I8" s="27"/>
      <c r="J8" s="27"/>
      <c r="L8" s="38" t="s">
        <v>43</v>
      </c>
      <c r="M8" s="38"/>
      <c r="N8" s="38"/>
      <c r="O8" s="38"/>
      <c r="P8" s="38"/>
    </row>
    <row r="9" spans="2:16" x14ac:dyDescent="0.3">
      <c r="B9" s="39" t="s">
        <v>45</v>
      </c>
      <c r="C9" s="39"/>
      <c r="D9" s="39"/>
      <c r="E9" s="39"/>
      <c r="F9" s="39"/>
      <c r="G9" s="39"/>
      <c r="H9" s="39"/>
      <c r="I9" s="39"/>
      <c r="J9" s="39"/>
    </row>
    <row r="10" spans="2:16" x14ac:dyDescent="0.3">
      <c r="B10" s="39" t="s">
        <v>1</v>
      </c>
      <c r="C10" s="39"/>
      <c r="D10" s="39"/>
      <c r="E10" s="28"/>
      <c r="F10" s="28"/>
      <c r="G10" s="28" t="s">
        <v>40</v>
      </c>
      <c r="H10" s="28"/>
      <c r="I10" s="28"/>
      <c r="J10" s="28"/>
    </row>
    <row r="12" spans="2:16" ht="14.55" customHeight="1" x14ac:dyDescent="0.3">
      <c r="B12" s="46" t="s">
        <v>9</v>
      </c>
      <c r="C12" s="40" t="s">
        <v>34</v>
      </c>
      <c r="D12" s="41"/>
      <c r="E12" s="42"/>
      <c r="F12" s="43" t="s">
        <v>2</v>
      </c>
      <c r="G12" s="44"/>
      <c r="H12" s="44"/>
      <c r="I12" s="44"/>
      <c r="J12" s="44"/>
      <c r="K12" s="44"/>
      <c r="L12" s="45"/>
      <c r="M12" s="46" t="s">
        <v>8</v>
      </c>
      <c r="N12" s="46"/>
      <c r="O12" s="46"/>
      <c r="P12" s="46"/>
    </row>
    <row r="13" spans="2:16" ht="58.8" customHeight="1" x14ac:dyDescent="0.3">
      <c r="B13" s="46"/>
      <c r="C13" s="13" t="s">
        <v>10</v>
      </c>
      <c r="D13" s="13" t="s">
        <v>11</v>
      </c>
      <c r="E13" s="13" t="s">
        <v>12</v>
      </c>
      <c r="F13" s="4" t="s">
        <v>11</v>
      </c>
      <c r="G13" s="4" t="s">
        <v>33</v>
      </c>
      <c r="H13" s="4" t="s">
        <v>3</v>
      </c>
      <c r="I13" s="4" t="s">
        <v>7</v>
      </c>
      <c r="J13" s="4" t="s">
        <v>4</v>
      </c>
      <c r="K13" s="4" t="s">
        <v>5</v>
      </c>
      <c r="L13" s="4" t="s">
        <v>6</v>
      </c>
      <c r="M13" s="46"/>
      <c r="N13" s="46"/>
      <c r="O13" s="46"/>
      <c r="P13" s="46"/>
    </row>
    <row r="14" spans="2:16" ht="45.6" customHeight="1" x14ac:dyDescent="0.3">
      <c r="B14" s="14" t="s">
        <v>13</v>
      </c>
      <c r="C14" s="25">
        <v>150</v>
      </c>
      <c r="D14" s="25">
        <v>150</v>
      </c>
      <c r="E14" s="25">
        <v>133.05000000000001</v>
      </c>
      <c r="F14" s="25">
        <v>148</v>
      </c>
      <c r="G14" s="29">
        <v>24</v>
      </c>
      <c r="H14" s="29">
        <v>24</v>
      </c>
      <c r="I14" s="29">
        <v>0</v>
      </c>
      <c r="J14" s="29">
        <f>F14*G14</f>
        <v>3552</v>
      </c>
      <c r="K14" s="29">
        <v>3052</v>
      </c>
      <c r="L14" s="29">
        <f>J14-K14</f>
        <v>500</v>
      </c>
      <c r="M14" s="34" t="s">
        <v>50</v>
      </c>
      <c r="N14" s="35"/>
      <c r="O14" s="35"/>
      <c r="P14" s="36"/>
    </row>
    <row r="15" spans="2:16" ht="51" customHeight="1" x14ac:dyDescent="0.3">
      <c r="B15" s="14" t="s">
        <v>39</v>
      </c>
      <c r="C15" s="25">
        <v>150</v>
      </c>
      <c r="D15" s="25">
        <v>150</v>
      </c>
      <c r="E15" s="25">
        <v>136.59</v>
      </c>
      <c r="F15" s="25">
        <v>148</v>
      </c>
      <c r="G15" s="29">
        <v>24</v>
      </c>
      <c r="H15" s="29">
        <v>24</v>
      </c>
      <c r="I15" s="29">
        <v>0</v>
      </c>
      <c r="J15" s="29">
        <f>F15*G15</f>
        <v>3552</v>
      </c>
      <c r="K15" s="30">
        <v>3165.1</v>
      </c>
      <c r="L15" s="29">
        <f t="shared" ref="L15:L16" si="0">J15-K15</f>
        <v>386.90000000000009</v>
      </c>
      <c r="M15" s="34" t="s">
        <v>51</v>
      </c>
      <c r="N15" s="35"/>
      <c r="O15" s="35"/>
      <c r="P15" s="36"/>
    </row>
    <row r="16" spans="2:16" ht="45" customHeight="1" x14ac:dyDescent="0.3">
      <c r="B16" s="14" t="s">
        <v>38</v>
      </c>
      <c r="C16" s="25">
        <v>150</v>
      </c>
      <c r="D16" s="25">
        <v>150</v>
      </c>
      <c r="E16" s="25">
        <v>128.35</v>
      </c>
      <c r="F16" s="25">
        <v>148</v>
      </c>
      <c r="G16" s="29">
        <v>24</v>
      </c>
      <c r="H16" s="29">
        <v>24</v>
      </c>
      <c r="I16" s="29">
        <v>2</v>
      </c>
      <c r="J16" s="29">
        <f>F16*G16</f>
        <v>3552</v>
      </c>
      <c r="K16" s="29">
        <v>3024.7</v>
      </c>
      <c r="L16" s="29">
        <f t="shared" si="0"/>
        <v>527.30000000000018</v>
      </c>
      <c r="M16" s="34" t="s">
        <v>52</v>
      </c>
      <c r="N16" s="35"/>
      <c r="O16" s="35"/>
      <c r="P16" s="36"/>
    </row>
    <row r="17" spans="2:16" ht="109.2" customHeight="1" x14ac:dyDescent="0.3">
      <c r="B17" s="14" t="s">
        <v>14</v>
      </c>
      <c r="C17" s="25">
        <v>0</v>
      </c>
      <c r="D17" s="25">
        <v>0</v>
      </c>
      <c r="E17" s="25">
        <v>0</v>
      </c>
      <c r="F17" s="29">
        <v>0</v>
      </c>
      <c r="G17" s="29">
        <v>0</v>
      </c>
      <c r="H17" s="29">
        <v>0</v>
      </c>
      <c r="I17" s="29">
        <v>0</v>
      </c>
      <c r="J17" s="29">
        <f t="shared" ref="J17" si="1">F17*G17</f>
        <v>0</v>
      </c>
      <c r="K17" s="29">
        <v>0</v>
      </c>
      <c r="L17" s="29">
        <v>0</v>
      </c>
      <c r="M17" s="34" t="s">
        <v>42</v>
      </c>
      <c r="N17" s="35"/>
      <c r="O17" s="35"/>
      <c r="P17" s="36"/>
    </row>
    <row r="18" spans="2:16" ht="17.399999999999999" customHeight="1" x14ac:dyDescent="0.3">
      <c r="B18" s="14" t="s">
        <v>15</v>
      </c>
      <c r="C18" s="26">
        <f>SUM(C14:C17)</f>
        <v>450</v>
      </c>
      <c r="D18" s="26">
        <f>SUM(D14:D17)</f>
        <v>450</v>
      </c>
      <c r="E18" s="26">
        <f t="shared" ref="E18" si="2">SUM(E14:E17)</f>
        <v>397.99</v>
      </c>
      <c r="F18" s="31">
        <f>SUM(F14:F17)</f>
        <v>444</v>
      </c>
      <c r="G18" s="22"/>
      <c r="H18" s="23"/>
      <c r="I18" s="24">
        <v>2</v>
      </c>
      <c r="J18" s="31">
        <f>SUM(J14:J17)</f>
        <v>10656</v>
      </c>
      <c r="K18" s="31">
        <f t="shared" ref="K18:L18" si="3">SUM(K14:K17)</f>
        <v>9241.7999999999993</v>
      </c>
      <c r="L18" s="32">
        <f t="shared" si="3"/>
        <v>1414.2000000000003</v>
      </c>
      <c r="M18" s="60"/>
      <c r="N18" s="61"/>
      <c r="O18" s="61"/>
      <c r="P18" s="61"/>
    </row>
    <row r="19" spans="2:16" x14ac:dyDescent="0.3">
      <c r="B19" s="1"/>
      <c r="C19" s="1" t="s">
        <v>40</v>
      </c>
      <c r="D19" s="1"/>
      <c r="E19" s="1"/>
      <c r="F19" s="19"/>
      <c r="G19" s="19"/>
      <c r="H19" s="20"/>
      <c r="I19" s="20"/>
      <c r="J19" s="19"/>
      <c r="K19" s="19"/>
      <c r="L19" s="19"/>
      <c r="M19" s="1"/>
      <c r="N19" s="1"/>
      <c r="O19" s="1"/>
      <c r="P19" s="1"/>
    </row>
    <row r="20" spans="2:16" x14ac:dyDescent="0.3">
      <c r="B20" s="19"/>
      <c r="C20" s="19"/>
      <c r="D20" s="19"/>
      <c r="E20" s="19"/>
      <c r="F20" s="19"/>
      <c r="G20" s="19"/>
      <c r="H20" s="19"/>
      <c r="I20" s="19"/>
      <c r="J20" s="19"/>
      <c r="K20" s="19"/>
      <c r="L20" s="19"/>
      <c r="M20" s="1"/>
      <c r="N20" s="1"/>
      <c r="O20" s="1"/>
      <c r="P20" s="1"/>
    </row>
    <row r="21" spans="2:16" x14ac:dyDescent="0.3">
      <c r="B21" s="63" t="s">
        <v>16</v>
      </c>
      <c r="C21" s="63"/>
      <c r="D21" s="63"/>
      <c r="E21" s="12">
        <v>26.9</v>
      </c>
      <c r="F21" s="71" t="s">
        <v>17</v>
      </c>
      <c r="G21" s="72"/>
      <c r="H21" s="72"/>
      <c r="I21" s="73"/>
      <c r="J21" s="12">
        <f>K18-E21</f>
        <v>9214.9</v>
      </c>
      <c r="K21" s="63" t="s">
        <v>18</v>
      </c>
      <c r="L21" s="63"/>
      <c r="M21" s="12">
        <v>420.3</v>
      </c>
      <c r="N21" s="17" t="s">
        <v>19</v>
      </c>
      <c r="O21" s="18" t="s">
        <v>47</v>
      </c>
      <c r="P21" s="11"/>
    </row>
    <row r="22" spans="2:16" ht="30" customHeight="1" x14ac:dyDescent="0.3">
      <c r="B22" s="68" t="s">
        <v>20</v>
      </c>
      <c r="C22" s="68"/>
      <c r="D22" s="68"/>
      <c r="E22" s="12">
        <f>K18/24</f>
        <v>385.07499999999999</v>
      </c>
      <c r="F22" s="49" t="s">
        <v>32</v>
      </c>
      <c r="G22" s="50"/>
      <c r="H22" s="50"/>
      <c r="I22" s="51"/>
      <c r="J22" s="12">
        <f>100*(K18/J18)</f>
        <v>86.728603603603588</v>
      </c>
      <c r="K22" s="68" t="s">
        <v>21</v>
      </c>
      <c r="L22" s="68"/>
      <c r="M22" s="12">
        <f>J27/E22</f>
        <v>1.1737973122119068</v>
      </c>
      <c r="N22" s="62" t="s">
        <v>22</v>
      </c>
      <c r="O22" s="62"/>
      <c r="P22" s="21">
        <f>N27/E22</f>
        <v>1.1737973122119068</v>
      </c>
    </row>
    <row r="23" spans="2:16" x14ac:dyDescent="0.3">
      <c r="B23" s="19"/>
      <c r="C23" s="19"/>
      <c r="D23" s="19"/>
      <c r="E23" s="19"/>
      <c r="F23" s="19"/>
      <c r="G23" s="19"/>
      <c r="H23" s="19"/>
      <c r="I23" s="19"/>
      <c r="J23" s="19"/>
      <c r="K23" s="19"/>
      <c r="L23" s="19"/>
      <c r="M23" s="1"/>
      <c r="N23" s="1"/>
      <c r="O23" s="1"/>
      <c r="P23" s="1"/>
    </row>
    <row r="24" spans="2:16" x14ac:dyDescent="0.3">
      <c r="B24" s="39" t="s">
        <v>46</v>
      </c>
      <c r="C24" s="39"/>
      <c r="D24" s="39"/>
      <c r="E24" s="39"/>
      <c r="F24" s="39"/>
      <c r="G24" s="39"/>
      <c r="H24" s="39"/>
      <c r="I24" s="19"/>
      <c r="J24" s="19"/>
      <c r="K24" s="19" t="s">
        <v>40</v>
      </c>
      <c r="L24" s="19"/>
      <c r="M24" s="1"/>
      <c r="N24" s="1"/>
      <c r="O24" s="1"/>
      <c r="P24" s="1"/>
    </row>
    <row r="25" spans="2:16" x14ac:dyDescent="0.3">
      <c r="B25" s="1"/>
      <c r="C25" s="1"/>
      <c r="D25" s="1"/>
      <c r="E25" s="1"/>
      <c r="F25" s="1"/>
      <c r="G25" s="1"/>
      <c r="H25" s="1"/>
      <c r="I25" s="1"/>
      <c r="J25" s="1"/>
      <c r="K25" s="1"/>
      <c r="L25" s="1"/>
      <c r="M25" s="1"/>
      <c r="N25" s="1"/>
      <c r="O25" s="1"/>
      <c r="P25" s="1"/>
    </row>
    <row r="26" spans="2:16" ht="27.6" x14ac:dyDescent="0.3">
      <c r="B26" s="67" t="s">
        <v>31</v>
      </c>
      <c r="C26" s="67"/>
      <c r="D26" s="64" t="s">
        <v>24</v>
      </c>
      <c r="E26" s="65"/>
      <c r="F26" s="66"/>
      <c r="G26" s="69">
        <v>366.1</v>
      </c>
      <c r="H26" s="70"/>
      <c r="I26" s="5" t="s">
        <v>27</v>
      </c>
      <c r="J26" s="12">
        <v>271</v>
      </c>
      <c r="K26" s="6" t="s">
        <v>29</v>
      </c>
      <c r="L26" s="2">
        <f>G26-J26</f>
        <v>95.100000000000023</v>
      </c>
      <c r="M26" s="67"/>
      <c r="N26" s="67"/>
      <c r="O26" s="67"/>
      <c r="P26" s="67"/>
    </row>
    <row r="27" spans="2:16" ht="63.45" customHeight="1" x14ac:dyDescent="0.3">
      <c r="B27" s="74" t="s">
        <v>37</v>
      </c>
      <c r="C27" s="75"/>
      <c r="D27" s="52" t="s">
        <v>25</v>
      </c>
      <c r="E27" s="53"/>
      <c r="F27" s="54"/>
      <c r="G27" s="47">
        <v>1308</v>
      </c>
      <c r="H27" s="48"/>
      <c r="I27" s="9" t="s">
        <v>28</v>
      </c>
      <c r="J27" s="33">
        <v>452</v>
      </c>
      <c r="K27" s="15" t="s">
        <v>35</v>
      </c>
      <c r="L27" s="16">
        <v>0</v>
      </c>
      <c r="M27" s="10" t="s">
        <v>36</v>
      </c>
      <c r="N27" s="3">
        <f>J27+L27</f>
        <v>452</v>
      </c>
      <c r="O27" s="8" t="s">
        <v>30</v>
      </c>
      <c r="P27" s="3">
        <f>G27-N27</f>
        <v>856</v>
      </c>
    </row>
    <row r="28" spans="2:16" x14ac:dyDescent="0.3">
      <c r="B28" s="67" t="s">
        <v>23</v>
      </c>
      <c r="C28" s="67"/>
      <c r="D28" s="76" t="s">
        <v>26</v>
      </c>
      <c r="E28" s="77"/>
      <c r="F28" s="78"/>
      <c r="G28" s="55">
        <v>31.9</v>
      </c>
      <c r="H28" s="56"/>
      <c r="I28" s="5"/>
      <c r="J28" s="7"/>
      <c r="K28" s="7"/>
      <c r="L28" s="5"/>
      <c r="M28" s="67"/>
      <c r="N28" s="67"/>
      <c r="O28" s="67"/>
      <c r="P28" s="67"/>
    </row>
    <row r="29" spans="2:16" x14ac:dyDescent="0.3">
      <c r="B29" s="27"/>
      <c r="C29" s="27"/>
      <c r="D29" s="27"/>
      <c r="E29" s="27"/>
      <c r="F29" s="27"/>
      <c r="G29" s="27"/>
      <c r="H29" s="27" t="s">
        <v>40</v>
      </c>
      <c r="I29" s="27"/>
      <c r="J29" s="27"/>
      <c r="K29" s="27"/>
      <c r="L29" s="27"/>
      <c r="M29" s="27"/>
      <c r="N29" s="27"/>
      <c r="O29" s="27"/>
      <c r="P29" s="27"/>
    </row>
    <row r="30" spans="2:16" ht="48.6" customHeight="1" x14ac:dyDescent="0.3">
      <c r="B30" s="57" t="s">
        <v>41</v>
      </c>
      <c r="C30" s="58"/>
      <c r="D30" s="58"/>
      <c r="E30" s="58"/>
      <c r="F30" s="58"/>
      <c r="G30" s="58"/>
      <c r="H30" s="58"/>
      <c r="I30" s="58"/>
      <c r="J30" s="58"/>
      <c r="K30" s="58"/>
      <c r="L30" s="58"/>
      <c r="M30" s="58"/>
      <c r="N30" s="58"/>
      <c r="O30" s="58"/>
      <c r="P30" s="59"/>
    </row>
    <row r="31" spans="2:16" ht="14.4" customHeight="1" x14ac:dyDescent="0.3"/>
    <row r="32" spans="2:16" ht="45.6" customHeight="1" x14ac:dyDescent="0.3">
      <c r="B32" s="57" t="s">
        <v>44</v>
      </c>
      <c r="C32" s="58"/>
      <c r="D32" s="58"/>
      <c r="E32" s="58"/>
      <c r="F32" s="58"/>
      <c r="G32" s="58"/>
      <c r="H32" s="58"/>
      <c r="I32" s="58"/>
      <c r="J32" s="58"/>
      <c r="K32" s="58"/>
      <c r="L32" s="58"/>
      <c r="M32" s="58"/>
      <c r="N32" s="58"/>
      <c r="O32" s="58"/>
      <c r="P32" s="59"/>
    </row>
    <row r="34" spans="2:16" x14ac:dyDescent="0.3">
      <c r="B34" s="79" t="s">
        <v>48</v>
      </c>
      <c r="C34" s="80"/>
      <c r="D34" s="80"/>
      <c r="E34" s="80"/>
      <c r="F34" s="80"/>
      <c r="G34" s="80"/>
      <c r="H34" s="80"/>
      <c r="I34" s="80"/>
      <c r="J34" s="80"/>
      <c r="K34" s="80"/>
      <c r="L34" s="80"/>
      <c r="M34" s="80"/>
      <c r="N34" s="80"/>
      <c r="O34" s="80"/>
      <c r="P34" s="78"/>
    </row>
    <row r="36" spans="2:16" ht="28.2" customHeight="1" x14ac:dyDescent="0.3">
      <c r="B36" s="79" t="s">
        <v>49</v>
      </c>
      <c r="C36" s="80"/>
      <c r="D36" s="80"/>
      <c r="E36" s="80"/>
      <c r="F36" s="80"/>
      <c r="G36" s="80"/>
      <c r="H36" s="80"/>
      <c r="I36" s="80"/>
      <c r="J36" s="80"/>
      <c r="K36" s="80"/>
      <c r="L36" s="80"/>
      <c r="M36" s="80"/>
      <c r="N36" s="80"/>
      <c r="O36" s="80"/>
      <c r="P36" s="78"/>
    </row>
  </sheetData>
  <mergeCells count="37">
    <mergeCell ref="B34:P34"/>
    <mergeCell ref="B36:P36"/>
    <mergeCell ref="M18:P18"/>
    <mergeCell ref="N22:O22"/>
    <mergeCell ref="K21:L21"/>
    <mergeCell ref="B30:P30"/>
    <mergeCell ref="B21:D21"/>
    <mergeCell ref="D26:F26"/>
    <mergeCell ref="B26:C26"/>
    <mergeCell ref="B22:D22"/>
    <mergeCell ref="G26:H26"/>
    <mergeCell ref="K22:L22"/>
    <mergeCell ref="M26:P26"/>
    <mergeCell ref="F21:I21"/>
    <mergeCell ref="M28:P28"/>
    <mergeCell ref="B28:C28"/>
    <mergeCell ref="B27:C27"/>
    <mergeCell ref="D28:F28"/>
    <mergeCell ref="G27:H27"/>
    <mergeCell ref="F22:I22"/>
    <mergeCell ref="D27:F27"/>
    <mergeCell ref="G28:H28"/>
    <mergeCell ref="B32:P32"/>
    <mergeCell ref="B24:H24"/>
    <mergeCell ref="M17:P17"/>
    <mergeCell ref="M14:P14"/>
    <mergeCell ref="M16:P16"/>
    <mergeCell ref="B1:P1"/>
    <mergeCell ref="L7:P7"/>
    <mergeCell ref="L8:P8"/>
    <mergeCell ref="B9:J9"/>
    <mergeCell ref="C12:E12"/>
    <mergeCell ref="F12:L12"/>
    <mergeCell ref="B10:D10"/>
    <mergeCell ref="M12:P13"/>
    <mergeCell ref="B12:B13"/>
    <mergeCell ref="M15:P15"/>
  </mergeCells>
  <pageMargins left="0.25" right="0.25" top="0.75" bottom="0.75" header="0.3" footer="0.3"/>
  <pageSetup scale="65" orientation="landscape" r:id="rId1"/>
  <drawing r:id="rId2"/>
  <legacyDrawing r:id="rId3"/>
  <oleObjects>
    <mc:AlternateContent xmlns:mc="http://schemas.openxmlformats.org/markup-compatibility/2006">
      <mc:Choice Requires="x14">
        <oleObject progId="CorelDRAW.Graphic.13" shapeId="1026" r:id="rId4">
          <objectPr defaultSize="0" autoPict="0" r:id="rId5">
            <anchor moveWithCells="1" sizeWithCells="1">
              <from>
                <xdr:col>1</xdr:col>
                <xdr:colOff>99060</xdr:colOff>
                <xdr:row>1</xdr:row>
                <xdr:rowOff>53340</xdr:rowOff>
              </from>
              <to>
                <xdr:col>16</xdr:col>
                <xdr:colOff>45720</xdr:colOff>
                <xdr:row>5</xdr:row>
                <xdr:rowOff>7620</xdr:rowOff>
              </to>
            </anchor>
          </objectPr>
        </oleObject>
      </mc:Choice>
      <mc:Fallback>
        <oleObject progId="CorelDRAW.Graphic.13" shapeId="102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USER</dc:creator>
  <cp:lastModifiedBy>U. E. Chioke</cp:lastModifiedBy>
  <cp:lastPrinted>2021-12-01T13:29:56Z</cp:lastPrinted>
  <dcterms:created xsi:type="dcterms:W3CDTF">2019-06-08T09:58:21Z</dcterms:created>
  <dcterms:modified xsi:type="dcterms:W3CDTF">2026-08-09T13:58:31Z</dcterms:modified>
</cp:coreProperties>
</file>