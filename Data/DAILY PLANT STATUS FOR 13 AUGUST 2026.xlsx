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hirorocontrolroom\Downloads\"/>
    </mc:Choice>
  </mc:AlternateContent>
  <xr:revisionPtr revIDLastSave="0" documentId="13_ncr:1_{4271545A-D1BB-4D58-B6E1-E20CB0DC4B9C}" xr6:coauthVersionLast="47" xr6:coauthVersionMax="47" xr10:uidLastSave="{00000000-0000-0000-0000-000000000000}"/>
  <bookViews>
    <workbookView xWindow="-120" yWindow="-120" windowWidth="29040" windowHeight="15720" xr2:uid="{A6BF733C-AE98-47EA-B4A4-E41EA60444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6" i="1" l="1"/>
  <c r="L16" i="1" s="1"/>
  <c r="J15" i="1"/>
  <c r="L15" i="1" s="1"/>
  <c r="J14" i="1"/>
  <c r="L14" i="1" s="1"/>
  <c r="E18" i="1"/>
  <c r="N27" i="1" l="1"/>
  <c r="P27" i="1" s="1"/>
  <c r="L26" i="1"/>
  <c r="J17" i="1" l="1"/>
  <c r="F18" i="1"/>
  <c r="J18" i="1" l="1"/>
  <c r="K18" i="1"/>
  <c r="J21" i="1" s="1"/>
  <c r="D18" i="1"/>
  <c r="C18" i="1"/>
  <c r="E22" i="1" l="1"/>
  <c r="P22" i="1" s="1"/>
  <c r="J22" i="1"/>
  <c r="M22" i="1" l="1"/>
  <c r="L18" i="1"/>
  <c r="Y13" i="1" l="1"/>
  <c r="Y1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<sst xmlns="http://schemas.openxmlformats.org/spreadsheetml/2006/main" count="55" uniqueCount="51">
  <si>
    <t>FAO: EVC</t>
  </si>
  <si>
    <t>A: GENERATION</t>
  </si>
  <si>
    <t>PREVIOUS DAY RECORDS</t>
  </si>
  <si>
    <t>TOTAL HOURS RUN</t>
  </si>
  <si>
    <t>EXPECTED GENERATION (MWh)</t>
  </si>
  <si>
    <t>ACTUAL GENERATION (MWh)</t>
  </si>
  <si>
    <t>ENERGY DEFICIT (DERATED GENERATION) (MWh)</t>
  </si>
  <si>
    <t>DERATED HOURS</t>
  </si>
  <si>
    <t>COMMENTS</t>
  </si>
  <si>
    <t>UNITS</t>
  </si>
  <si>
    <t>AVAILABLE CAPACITY (MW)</t>
  </si>
  <si>
    <t>DECLARED CAPACITY (MW)</t>
  </si>
  <si>
    <t>LOAD AT 06.00HRS (MW)</t>
  </si>
  <si>
    <t>411G1</t>
  </si>
  <si>
    <t>411G4</t>
  </si>
  <si>
    <t>TOTAL</t>
  </si>
  <si>
    <t>Station Service Consumption (MWh)</t>
  </si>
  <si>
    <t>Energy Sent Out (MWh)</t>
  </si>
  <si>
    <t>Maximum Load Generated (MW)</t>
  </si>
  <si>
    <t>@</t>
  </si>
  <si>
    <t>Average Generation for the Day (MW)</t>
  </si>
  <si>
    <t>Plant Water to Power Ratio</t>
  </si>
  <si>
    <t>Station Water to Power Ratio</t>
  </si>
  <si>
    <t>STORAGE</t>
  </si>
  <si>
    <t>Head Water</t>
  </si>
  <si>
    <t>Average Computed Inflow</t>
  </si>
  <si>
    <t>% Live Volume Available</t>
  </si>
  <si>
    <t>Tail Water</t>
  </si>
  <si>
    <t>Average Turbine Discharge</t>
  </si>
  <si>
    <t>Gross Operating Head</t>
  </si>
  <si>
    <t>Storage Differential</t>
  </si>
  <si>
    <t>ELEVATIONS (m)</t>
  </si>
  <si>
    <t>Declared Capacity Utilization (%)</t>
  </si>
  <si>
    <t>DECLARED HOURS</t>
  </si>
  <si>
    <t>PRESENT DAY RECORDS</t>
  </si>
  <si>
    <t>Spillage /       Gate Overflow over the past 24 hours</t>
  </si>
  <si>
    <t>Average Station Total Discharge over the past 24 hours</t>
  </si>
  <si>
    <r>
      <t>FLOWS (m</t>
    </r>
    <r>
      <rPr>
        <b/>
        <vertAlign val="superscript"/>
        <sz val="10"/>
        <color theme="1"/>
        <rFont val="Calibri"/>
        <family val="2"/>
        <scheme val="minor"/>
      </rPr>
      <t>3</t>
    </r>
    <r>
      <rPr>
        <b/>
        <sz val="10"/>
        <color theme="1"/>
        <rFont val="Calibri"/>
        <family val="2"/>
        <scheme val="minor"/>
      </rPr>
      <t>/s)</t>
    </r>
  </si>
  <si>
    <t>411G3</t>
  </si>
  <si>
    <t>411G2</t>
  </si>
  <si>
    <t xml:space="preserve"> </t>
  </si>
  <si>
    <t>The two available dewatering pump Nos. 1 and 2 had issues in quick succession when deployed to dewater unit 411G3 draft tube. Pump No. 2 had seal failure on Tuesday 07/01/25 but has been replaced with a refurbished pump and put to use. Pump No. 1 on Wednesday 08/01/25 draws high current in service. Maintenace team has investigated this trend. A test-run will be scheduled after a faulty monorail is replaced with a new one for safe materials handling. Mono-rail has been supplied, installed, tested and commissioned. Work on the unwatering pumps will continue when manpower needs of the overhaul project reduces. Work has resumed and unwatering pumps 2 and 4 are now available.</t>
  </si>
  <si>
    <t>Francoray Dive and Marine Services Limited has carried out a comprehensive inspection of Unit 411G4 Penstock from 25/01/24 to 15/03/24. A formal report on the inspection project has been produced, and discussed on Wednesday 24/04/24. TRACTEBEL ENGINEERING Consultants were on site from Wednesday 29/05/24 to Thursday 30/05/24 to assess requirements and provide Engineering Services for restoration of the penstock. Inspections were carried out from both the scroll case and power intake ends of the penstock. Preliminary reports have been submitted. Tractebel is now developing a technical soluton for restoration of unit 411G4 penstock.</t>
  </si>
  <si>
    <t>cc: COO, CTO, ED (O&amp;SD), ED (F&amp;SD)</t>
  </si>
  <si>
    <t>Unit 411G2 Governor oil pump No. 1 was observed making abnormal noise and was repplaced with another governor oil pump taken from unit 411G4. After installation, this replacement could no respond to both manual and auto schemes. Investigation is continuing. Meanshile, unit 411G2 was returned to service at 18.27hrs of 02/07/26 after the 1800 service hours inspection and maintenance, running on governor oil pump No 2 alone. Further tests will be carried out during the next 1800 service hours inspection and maintenance of the unit (when reservoir draw-down commences in the current year 2026).</t>
  </si>
  <si>
    <t>DAILY OPERATIONAL REPORT FOR 13 AUGUST 2026</t>
  </si>
  <si>
    <t>B: HYDROLOGICAL DATA AS AT 12 AUGUST 2026</t>
  </si>
  <si>
    <t>06.00hrs</t>
  </si>
  <si>
    <t>Unit operated overnight on loads ranging from 141.62MW to 149.35MW on free governor response. Unit is currently loaded to 146.01MW still on free governor response (50.25Hz at 08.00hrs of 13/08/26).</t>
  </si>
  <si>
    <t>Unit operated overnight on loads ranging from 126.89MW to 145.79MW on free governor response. Unit is currently loaded to 142.07MW still on free governor response (50.25Hz at 08.00hrs of 13/08/26).</t>
  </si>
  <si>
    <t>Unit operated overnight on loads ranging from 135.37MW to 146.54MW on free governor response. Unit is currently loaded to 135.87MW still on free governor response (50.25Hz at 08.00hrs of 13/08/26).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</si>
</sst>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name val="Calibri"/>
      <family val="2"/>
      <scheme val="minor"/>
    </font>
    <font>
      <sz val="10"/>
      <name val="Calibri"/>
      <family val="2"/>
      <scheme val="minor"/>
    </font>
    <font>
      <sz val="11"/>
      <name val="Calibri"/>
      <family val="2"/>
      <scheme val="minor"/>
    </font>
    <font>
      <b/>
      <vertAlign val="superscript"/>
      <sz val="10"/>
      <color theme="1"/>
      <name val="Calibri"/>
      <family val="2"/>
      <scheme val="minor"/>
    </font>
    <font>
      <b/>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9">
    <xf numFmtId="0" fontId="0" fillId="0" borderId="0" xfId="0"/>
    <xf numFmtId="0" fontId="2" fillId="0" borderId="0" xfId="0" applyFont="1"/>
    <xf numFmtId="4" fontId="3" fillId="0" borderId="1" xfId="0" applyNumberFormat="1" applyFont="1" applyBorder="1"/>
    <xf numFmtId="3" fontId="3"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3" borderId="1" xfId="0" applyFont="1" applyFill="1" applyBorder="1"/>
    <xf numFmtId="4" fontId="5" fillId="0" borderId="1" xfId="0" applyNumberFormat="1" applyFont="1" applyBorder="1"/>
    <xf numFmtId="0" fontId="3" fillId="4" borderId="1" xfId="0" applyFont="1" applyFill="1" applyBorder="1" applyAlignment="1">
      <alignment horizontal="center" vertical="center" wrapText="1"/>
    </xf>
    <xf numFmtId="0" fontId="2" fillId="4" borderId="1" xfId="0" applyFont="1" applyFill="1" applyBorder="1" applyAlignment="1">
      <alignment horizontal="center"/>
    </xf>
    <xf numFmtId="0" fontId="5" fillId="2" borderId="1" xfId="0" applyFont="1" applyFill="1" applyBorder="1" applyAlignment="1">
      <alignment horizontal="left" vertical="center" wrapText="1"/>
    </xf>
    <xf numFmtId="3" fontId="5" fillId="0" borderId="1" xfId="0" applyNumberFormat="1" applyFont="1" applyBorder="1" applyAlignment="1">
      <alignment horizontal="right" vertical="center"/>
    </xf>
    <xf numFmtId="0" fontId="6" fillId="2" borderId="1" xfId="0" applyFont="1" applyFill="1" applyBorder="1" applyAlignment="1">
      <alignment horizontal="center"/>
    </xf>
    <xf numFmtId="4" fontId="5" fillId="0" borderId="1" xfId="0" applyNumberFormat="1" applyFont="1" applyBorder="1" applyAlignment="1">
      <alignment horizontal="center"/>
    </xf>
    <xf numFmtId="0" fontId="6" fillId="0" borderId="0" xfId="0" applyFont="1"/>
    <xf numFmtId="0" fontId="6" fillId="0" borderId="0" xfId="0" applyFont="1" applyAlignment="1">
      <alignment horizontal="right"/>
    </xf>
    <xf numFmtId="4" fontId="1" fillId="0" borderId="1" xfId="0" applyNumberFormat="1" applyFont="1" applyBorder="1"/>
    <xf numFmtId="0" fontId="6" fillId="3" borderId="1" xfId="0" applyFont="1" applyFill="1" applyBorder="1" applyAlignment="1">
      <alignment horizontal="right"/>
    </xf>
    <xf numFmtId="4" fontId="6" fillId="3" borderId="1" xfId="0" applyNumberFormat="1" applyFont="1" applyFill="1" applyBorder="1" applyAlignment="1">
      <alignment horizontal="right"/>
    </xf>
    <xf numFmtId="4" fontId="5" fillId="3" borderId="1" xfId="0" applyNumberFormat="1" applyFont="1" applyFill="1" applyBorder="1" applyAlignment="1">
      <alignment horizontal="right"/>
    </xf>
    <xf numFmtId="4" fontId="6" fillId="4" borderId="1" xfId="0" applyNumberFormat="1" applyFont="1" applyFill="1" applyBorder="1" applyAlignment="1">
      <alignment horizontal="right"/>
    </xf>
    <xf numFmtId="4" fontId="5" fillId="4" borderId="1" xfId="0" applyNumberFormat="1" applyFont="1" applyFill="1" applyBorder="1" applyAlignment="1">
      <alignment horizontal="right"/>
    </xf>
    <xf numFmtId="0" fontId="7" fillId="0" borderId="0" xfId="0" applyFont="1"/>
    <xf numFmtId="0" fontId="9" fillId="0" borderId="0" xfId="0" applyFont="1"/>
    <xf numFmtId="4" fontId="6" fillId="2" borderId="1" xfId="0" applyNumberFormat="1" applyFont="1" applyFill="1" applyBorder="1" applyAlignment="1">
      <alignment horizontal="right"/>
    </xf>
    <xf numFmtId="4" fontId="6" fillId="2" borderId="1" xfId="0" applyNumberFormat="1" applyFont="1" applyFill="1" applyBorder="1"/>
    <xf numFmtId="4" fontId="5" fillId="2" borderId="1" xfId="0" applyNumberFormat="1" applyFont="1" applyFill="1" applyBorder="1" applyAlignment="1">
      <alignment horizontal="right"/>
    </xf>
    <xf numFmtId="4" fontId="9" fillId="2" borderId="1" xfId="0" applyNumberFormat="1" applyFont="1" applyFill="1" applyBorder="1" applyAlignment="1">
      <alignment horizontal="right"/>
    </xf>
    <xf numFmtId="0" fontId="5" fillId="0" borderId="1" xfId="0" applyFont="1" applyBorder="1" applyAlignment="1">
      <alignment horizontal="right" vertical="center"/>
    </xf>
    <xf numFmtId="0" fontId="6" fillId="2" borderId="1" xfId="0" applyFont="1" applyFill="1" applyBorder="1" applyAlignment="1">
      <alignment wrapText="1"/>
    </xf>
    <xf numFmtId="0" fontId="3" fillId="2" borderId="1" xfId="0" applyFont="1" applyFill="1" applyBorder="1"/>
    <xf numFmtId="4" fontId="5" fillId="2" borderId="2" xfId="0" applyNumberFormat="1" applyFont="1" applyFill="1" applyBorder="1"/>
    <xf numFmtId="0" fontId="7" fillId="2" borderId="3" xfId="0" applyFont="1" applyFill="1" applyBorder="1"/>
    <xf numFmtId="0" fontId="7" fillId="2" borderId="4" xfId="0" applyFont="1" applyFill="1" applyBorder="1"/>
    <xf numFmtId="0" fontId="6" fillId="2" borderId="1" xfId="0" applyFont="1" applyFill="1" applyBorder="1"/>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0" fillId="0" borderId="4" xfId="0" applyBorder="1" applyAlignment="1">
      <alignment horizontal="left" wrapText="1"/>
    </xf>
    <xf numFmtId="4" fontId="5" fillId="0" borderId="2" xfId="0" applyNumberFormat="1" applyFont="1" applyBorder="1" applyAlignment="1">
      <alignment wrapText="1"/>
    </xf>
    <xf numFmtId="4" fontId="7" fillId="0" borderId="4" xfId="0" applyNumberFormat="1" applyFont="1" applyBorder="1" applyAlignment="1">
      <alignment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9" fillId="0" borderId="0" xfId="0" applyFont="1"/>
    <xf numFmtId="4" fontId="6" fillId="4" borderId="2" xfId="0" applyNumberFormat="1" applyFont="1" applyFill="1" applyBorder="1" applyAlignment="1">
      <alignment horizontal="center" vertical="center" wrapText="1"/>
    </xf>
    <xf numFmtId="4" fontId="6" fillId="4" borderId="3" xfId="0" applyNumberFormat="1" applyFont="1" applyFill="1" applyBorder="1" applyAlignment="1">
      <alignment horizontal="center" vertical="center" wrapText="1"/>
    </xf>
    <xf numFmtId="4" fontId="6" fillId="4" borderId="4" xfId="0" applyNumberFormat="1" applyFont="1" applyFill="1" applyBorder="1" applyAlignment="1">
      <alignment horizontal="center"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2" xfId="0" applyFont="1" applyFill="1" applyBorder="1" applyAlignment="1">
      <alignment wrapText="1"/>
    </xf>
    <xf numFmtId="0" fontId="3" fillId="2" borderId="3" xfId="0" applyFont="1" applyFill="1" applyBorder="1" applyAlignment="1">
      <alignment wrapText="1"/>
    </xf>
    <xf numFmtId="0" fontId="0" fillId="0" borderId="4" xfId="0" applyBorder="1" applyAlignment="1">
      <alignment wrapText="1"/>
    </xf>
    <xf numFmtId="3" fontId="5" fillId="0" borderId="2" xfId="0" applyNumberFormat="1" applyFont="1" applyBorder="1" applyAlignment="1">
      <alignment horizontal="right" vertical="center" wrapText="1"/>
    </xf>
    <xf numFmtId="0" fontId="7" fillId="0" borderId="4" xfId="0" applyFont="1" applyBorder="1" applyAlignment="1">
      <alignment horizontal="right" vertical="center" wrapText="1"/>
    </xf>
    <xf numFmtId="4" fontId="5" fillId="2" borderId="2" xfId="0" applyNumberFormat="1" applyFont="1" applyFill="1" applyBorder="1" applyAlignment="1">
      <alignment wrapText="1"/>
    </xf>
    <xf numFmtId="0" fontId="7" fillId="2" borderId="3" xfId="0" applyFont="1" applyFill="1" applyBorder="1" applyAlignment="1">
      <alignment wrapText="1"/>
    </xf>
    <xf numFmtId="0" fontId="7" fillId="2" borderId="4" xfId="0" applyFont="1" applyFill="1" applyBorder="1" applyAlignment="1">
      <alignment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0" fillId="0" borderId="4" xfId="0" applyBorder="1" applyAlignment="1">
      <alignment horizontal="left" vertical="center" wrapText="1"/>
    </xf>
    <xf numFmtId="164" fontId="5" fillId="0" borderId="2" xfId="0" applyNumberFormat="1" applyFont="1" applyBorder="1" applyAlignment="1">
      <alignment wrapText="1"/>
    </xf>
    <xf numFmtId="164" fontId="7" fillId="0" borderId="4" xfId="0" applyNumberFormat="1" applyFont="1" applyBorder="1" applyAlignment="1">
      <alignment wrapText="1"/>
    </xf>
    <xf numFmtId="4" fontId="6" fillId="3" borderId="1" xfId="0" applyNumberFormat="1" applyFont="1" applyFill="1" applyBorder="1" applyAlignment="1">
      <alignment horizontal="center" wrapText="1"/>
    </xf>
    <xf numFmtId="0" fontId="6" fillId="3" borderId="1" xfId="0" applyFont="1" applyFill="1" applyBorder="1" applyAlignment="1">
      <alignment horizontal="center" wrapText="1"/>
    </xf>
    <xf numFmtId="0" fontId="2" fillId="2" borderId="1" xfId="0" applyFont="1" applyFill="1" applyBorder="1" applyAlignment="1">
      <alignment wrapText="1"/>
    </xf>
    <xf numFmtId="0" fontId="0" fillId="0" borderId="0" xfId="0"/>
    <xf numFmtId="0" fontId="1" fillId="0" borderId="0" xfId="0" applyFont="1" applyAlignment="1">
      <alignment horizontal="center"/>
    </xf>
    <xf numFmtId="0" fontId="3" fillId="4" borderId="2"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95250</xdr:colOff>
          <xdr:row>1</xdr:row>
          <xdr:rowOff>57150</xdr:rowOff>
        </xdr:from>
        <xdr:to>
          <xdr:col>16</xdr:col>
          <xdr:colOff>47625</xdr:colOff>
          <xdr:row>5</xdr:row>
          <xdr:rowOff>9525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B334-13E2-4BBA-AB57-752E7468E7EF}">
  <sheetPr>
    <pageSetUpPr fitToPage="1"/>
  </sheetPr>
  <dimension ref="B1:Y32"/>
  <sheetViews>
    <sheetView tabSelected="1" topLeftCell="A4" zoomScale="97" zoomScaleNormal="97" workbookViewId="0">
      <selection activeCell="V17" sqref="V17"/>
    </sheetView>
  </sheetViews>
  <sheetFormatPr defaultRowHeight="15" x14ac:dyDescent="0.25"/>
  <cols>
    <col min="1" max="1" width="1.7109375" customWidth="1"/>
    <col min="3" max="3" width="9.42578125" customWidth="1"/>
    <col min="4" max="4" width="11.28515625" customWidth="1"/>
    <col min="5" max="5" width="8.7109375" customWidth="1"/>
    <col min="6" max="7" width="9.85546875" customWidth="1"/>
    <col min="9" max="9" width="18.28515625" customWidth="1"/>
    <col min="10" max="10" width="13.5703125" customWidth="1"/>
    <col min="11" max="11" width="13.7109375" customWidth="1"/>
    <col min="12" max="12" width="17.28515625" customWidth="1"/>
    <col min="13" max="13" width="10.85546875" customWidth="1"/>
    <col min="14" max="14" width="7.7109375" customWidth="1"/>
    <col min="15" max="15" width="17.7109375" customWidth="1"/>
    <col min="16" max="16" width="40.5703125" customWidth="1"/>
  </cols>
  <sheetData>
    <row r="1" spans="2:25" x14ac:dyDescent="0.25">
      <c r="B1" s="70"/>
      <c r="C1" s="70"/>
      <c r="D1" s="70"/>
      <c r="E1" s="70"/>
      <c r="F1" s="70"/>
      <c r="G1" s="70"/>
      <c r="H1" s="70"/>
      <c r="I1" s="70"/>
      <c r="J1" s="70"/>
      <c r="K1" s="70"/>
      <c r="L1" s="70"/>
      <c r="M1" s="70"/>
      <c r="N1" s="70"/>
      <c r="O1" s="70"/>
      <c r="P1" s="70"/>
    </row>
    <row r="2" spans="2:25" ht="7.5" customHeight="1" x14ac:dyDescent="0.25"/>
    <row r="4" spans="2:25" ht="31.15" customHeight="1" x14ac:dyDescent="0.25"/>
    <row r="5" spans="2:25" ht="18" customHeight="1" x14ac:dyDescent="0.25"/>
    <row r="7" spans="2:25" x14ac:dyDescent="0.25">
      <c r="B7" s="27"/>
      <c r="C7" s="27"/>
      <c r="D7" s="27"/>
      <c r="E7" s="27"/>
      <c r="F7" s="27"/>
      <c r="G7" s="27"/>
      <c r="H7" s="27"/>
      <c r="I7" s="27"/>
      <c r="J7" s="27"/>
      <c r="L7" s="71" t="s">
        <v>0</v>
      </c>
      <c r="M7" s="71"/>
      <c r="N7" s="71"/>
      <c r="O7" s="71"/>
      <c r="P7" s="71"/>
    </row>
    <row r="8" spans="2:25" x14ac:dyDescent="0.25">
      <c r="B8" s="27"/>
      <c r="C8" s="27"/>
      <c r="D8" s="27"/>
      <c r="E8" s="27"/>
      <c r="F8" s="27"/>
      <c r="G8" s="27"/>
      <c r="H8" s="27"/>
      <c r="I8" s="27"/>
      <c r="J8" s="27"/>
      <c r="L8" s="71" t="s">
        <v>43</v>
      </c>
      <c r="M8" s="71"/>
      <c r="N8" s="71"/>
      <c r="O8" s="71"/>
      <c r="P8" s="71"/>
    </row>
    <row r="9" spans="2:25" x14ac:dyDescent="0.25">
      <c r="B9" s="48" t="s">
        <v>45</v>
      </c>
      <c r="C9" s="48"/>
      <c r="D9" s="48"/>
      <c r="E9" s="48"/>
      <c r="F9" s="48"/>
      <c r="G9" s="48"/>
      <c r="H9" s="48"/>
      <c r="I9" s="48"/>
      <c r="J9" s="48"/>
    </row>
    <row r="10" spans="2:25" x14ac:dyDescent="0.25">
      <c r="B10" s="48" t="s">
        <v>1</v>
      </c>
      <c r="C10" s="48"/>
      <c r="D10" s="48"/>
      <c r="E10" s="28"/>
      <c r="F10" s="28"/>
      <c r="G10" s="28" t="s">
        <v>40</v>
      </c>
      <c r="H10" s="28"/>
      <c r="I10" s="28"/>
      <c r="J10" s="28"/>
    </row>
    <row r="12" spans="2:25" ht="14.65" customHeight="1" x14ac:dyDescent="0.25">
      <c r="B12" s="78" t="s">
        <v>9</v>
      </c>
      <c r="C12" s="72" t="s">
        <v>34</v>
      </c>
      <c r="D12" s="73"/>
      <c r="E12" s="74"/>
      <c r="F12" s="75" t="s">
        <v>2</v>
      </c>
      <c r="G12" s="76"/>
      <c r="H12" s="76"/>
      <c r="I12" s="76"/>
      <c r="J12" s="76"/>
      <c r="K12" s="76"/>
      <c r="L12" s="77"/>
      <c r="M12" s="78" t="s">
        <v>8</v>
      </c>
      <c r="N12" s="78"/>
      <c r="O12" s="78"/>
      <c r="P12" s="78"/>
    </row>
    <row r="13" spans="2:25" ht="58.9" customHeight="1" x14ac:dyDescent="0.25">
      <c r="B13" s="78"/>
      <c r="C13" s="13" t="s">
        <v>10</v>
      </c>
      <c r="D13" s="13" t="s">
        <v>11</v>
      </c>
      <c r="E13" s="13" t="s">
        <v>12</v>
      </c>
      <c r="F13" s="4" t="s">
        <v>11</v>
      </c>
      <c r="G13" s="4" t="s">
        <v>33</v>
      </c>
      <c r="H13" s="4" t="s">
        <v>3</v>
      </c>
      <c r="I13" s="4" t="s">
        <v>7</v>
      </c>
      <c r="J13" s="4" t="s">
        <v>4</v>
      </c>
      <c r="K13" s="4" t="s">
        <v>5</v>
      </c>
      <c r="L13" s="4" t="s">
        <v>6</v>
      </c>
      <c r="M13" s="78"/>
      <c r="N13" s="78"/>
      <c r="O13" s="78"/>
      <c r="P13" s="78"/>
      <c r="Y13" cm="1">
        <f t="array" aca="1" ref="Y13" ca="1">Y13:Z13</f>
        <v>0</v>
      </c>
    </row>
    <row r="14" spans="2:25" ht="45.6" customHeight="1" x14ac:dyDescent="0.25">
      <c r="B14" s="14" t="s">
        <v>13</v>
      </c>
      <c r="C14" s="25">
        <v>150</v>
      </c>
      <c r="D14" s="25">
        <v>150</v>
      </c>
      <c r="E14" s="25">
        <v>149.35</v>
      </c>
      <c r="F14" s="25">
        <v>150</v>
      </c>
      <c r="G14" s="29">
        <v>24</v>
      </c>
      <c r="H14" s="29">
        <v>24</v>
      </c>
      <c r="I14" s="29">
        <v>0</v>
      </c>
      <c r="J14" s="29">
        <f>F14*G14</f>
        <v>3600</v>
      </c>
      <c r="K14" s="29">
        <v>3278.7</v>
      </c>
      <c r="L14" s="29">
        <f>J14-K14</f>
        <v>321.30000000000018</v>
      </c>
      <c r="M14" s="49" t="s">
        <v>48</v>
      </c>
      <c r="N14" s="50"/>
      <c r="O14" s="50"/>
      <c r="P14" s="51"/>
    </row>
    <row r="15" spans="2:25" ht="51" customHeight="1" x14ac:dyDescent="0.25">
      <c r="B15" s="14" t="s">
        <v>39</v>
      </c>
      <c r="C15" s="25">
        <v>150</v>
      </c>
      <c r="D15" s="25">
        <v>150</v>
      </c>
      <c r="E15" s="25">
        <v>145.79</v>
      </c>
      <c r="F15" s="25">
        <v>150</v>
      </c>
      <c r="G15" s="29">
        <v>24</v>
      </c>
      <c r="H15" s="29">
        <v>24</v>
      </c>
      <c r="I15" s="29">
        <v>0</v>
      </c>
      <c r="J15" s="29">
        <f>F15*G15</f>
        <v>3600</v>
      </c>
      <c r="K15" s="30">
        <v>3348.6</v>
      </c>
      <c r="L15" s="29">
        <f t="shared" ref="L15:L16" si="0">J15-K15</f>
        <v>251.40000000000009</v>
      </c>
      <c r="M15" s="49" t="s">
        <v>49</v>
      </c>
      <c r="N15" s="50"/>
      <c r="O15" s="50"/>
      <c r="P15" s="51"/>
    </row>
    <row r="16" spans="2:25" ht="54.6" customHeight="1" x14ac:dyDescent="0.25">
      <c r="B16" s="14" t="s">
        <v>38</v>
      </c>
      <c r="C16" s="25">
        <v>150</v>
      </c>
      <c r="D16" s="25">
        <v>150</v>
      </c>
      <c r="E16" s="25">
        <v>147.03</v>
      </c>
      <c r="F16" s="25">
        <v>150</v>
      </c>
      <c r="G16" s="29">
        <v>24</v>
      </c>
      <c r="H16" s="29">
        <v>24</v>
      </c>
      <c r="I16" s="29">
        <v>0</v>
      </c>
      <c r="J16" s="29">
        <f>F16*G16</f>
        <v>3600</v>
      </c>
      <c r="K16" s="29">
        <v>3237.4</v>
      </c>
      <c r="L16" s="29">
        <f t="shared" si="0"/>
        <v>362.59999999999991</v>
      </c>
      <c r="M16" s="49" t="s">
        <v>50</v>
      </c>
      <c r="N16" s="50"/>
      <c r="O16" s="50"/>
      <c r="P16" s="51"/>
    </row>
    <row r="17" spans="2:16" ht="109.15" customHeight="1" x14ac:dyDescent="0.25">
      <c r="B17" s="14" t="s">
        <v>14</v>
      </c>
      <c r="C17" s="25">
        <v>0</v>
      </c>
      <c r="D17" s="25">
        <v>0</v>
      </c>
      <c r="E17" s="25">
        <v>0</v>
      </c>
      <c r="F17" s="29">
        <v>0</v>
      </c>
      <c r="G17" s="29">
        <v>0</v>
      </c>
      <c r="H17" s="29">
        <v>0</v>
      </c>
      <c r="I17" s="29">
        <v>0</v>
      </c>
      <c r="J17" s="29">
        <f t="shared" ref="J17" si="1">F17*G17</f>
        <v>0</v>
      </c>
      <c r="K17" s="29">
        <v>0</v>
      </c>
      <c r="L17" s="29">
        <v>0</v>
      </c>
      <c r="M17" s="49" t="s">
        <v>42</v>
      </c>
      <c r="N17" s="50"/>
      <c r="O17" s="50"/>
      <c r="P17" s="51"/>
    </row>
    <row r="18" spans="2:16" ht="17.45" customHeight="1" x14ac:dyDescent="0.25">
      <c r="B18" s="14" t="s">
        <v>15</v>
      </c>
      <c r="C18" s="26">
        <f>SUM(C14:C17)</f>
        <v>450</v>
      </c>
      <c r="D18" s="26">
        <f>SUM(D14:D17)</f>
        <v>450</v>
      </c>
      <c r="E18" s="26">
        <f t="shared" ref="E18" si="2">SUM(E14:E17)</f>
        <v>442.16999999999996</v>
      </c>
      <c r="F18" s="31">
        <f>SUM(F14:F17)</f>
        <v>450</v>
      </c>
      <c r="G18" s="22"/>
      <c r="H18" s="23"/>
      <c r="I18" s="24">
        <v>2</v>
      </c>
      <c r="J18" s="31">
        <f>SUM(J14:J17)</f>
        <v>10800</v>
      </c>
      <c r="K18" s="31">
        <f t="shared" ref="K18:L18" si="3">SUM(K14:K17)</f>
        <v>9864.6999999999989</v>
      </c>
      <c r="L18" s="32">
        <f t="shared" si="3"/>
        <v>935.30000000000018</v>
      </c>
      <c r="M18" s="67"/>
      <c r="N18" s="68"/>
      <c r="O18" s="68"/>
      <c r="P18" s="68"/>
    </row>
    <row r="19" spans="2:16" x14ac:dyDescent="0.25">
      <c r="B19" s="1"/>
      <c r="C19" s="1" t="s">
        <v>40</v>
      </c>
      <c r="D19" s="1"/>
      <c r="E19" s="1"/>
      <c r="F19" s="19"/>
      <c r="G19" s="19"/>
      <c r="H19" s="20"/>
      <c r="I19" s="20"/>
      <c r="J19" s="19"/>
      <c r="K19" s="19"/>
      <c r="L19" s="19"/>
      <c r="M19" s="1"/>
      <c r="N19" s="1"/>
      <c r="O19" s="1"/>
      <c r="P19" s="1"/>
    </row>
    <row r="20" spans="2:16" x14ac:dyDescent="0.25">
      <c r="B20" s="19"/>
      <c r="C20" s="19"/>
      <c r="D20" s="19"/>
      <c r="E20" s="19"/>
      <c r="F20" s="19"/>
      <c r="G20" s="19"/>
      <c r="H20" s="19"/>
      <c r="I20" s="19"/>
      <c r="J20" s="19"/>
      <c r="K20" s="19"/>
      <c r="L20" s="19"/>
      <c r="M20" s="1"/>
      <c r="N20" s="1"/>
      <c r="O20" s="1"/>
      <c r="P20" s="1"/>
    </row>
    <row r="21" spans="2:16" x14ac:dyDescent="0.25">
      <c r="B21" s="39" t="s">
        <v>16</v>
      </c>
      <c r="C21" s="39"/>
      <c r="D21" s="39"/>
      <c r="E21" s="12">
        <v>38.6</v>
      </c>
      <c r="F21" s="36" t="s">
        <v>17</v>
      </c>
      <c r="G21" s="37"/>
      <c r="H21" s="37"/>
      <c r="I21" s="38"/>
      <c r="J21" s="12">
        <f>K18-E21</f>
        <v>9826.0999999999985</v>
      </c>
      <c r="K21" s="39" t="s">
        <v>18</v>
      </c>
      <c r="L21" s="39"/>
      <c r="M21" s="12">
        <v>450.86</v>
      </c>
      <c r="N21" s="17" t="s">
        <v>19</v>
      </c>
      <c r="O21" s="18" t="s">
        <v>47</v>
      </c>
      <c r="P21" s="11"/>
    </row>
    <row r="22" spans="2:16" ht="30" customHeight="1" x14ac:dyDescent="0.25">
      <c r="B22" s="34" t="s">
        <v>20</v>
      </c>
      <c r="C22" s="34"/>
      <c r="D22" s="34"/>
      <c r="E22" s="12">
        <f>K18/24</f>
        <v>411.02916666666664</v>
      </c>
      <c r="F22" s="59" t="s">
        <v>32</v>
      </c>
      <c r="G22" s="60"/>
      <c r="H22" s="60"/>
      <c r="I22" s="61"/>
      <c r="J22" s="12">
        <f>100*(K18/J18)</f>
        <v>91.339814814814801</v>
      </c>
      <c r="K22" s="34" t="s">
        <v>21</v>
      </c>
      <c r="L22" s="34"/>
      <c r="M22" s="12">
        <f>J27/E22</f>
        <v>1.153616430301986</v>
      </c>
      <c r="N22" s="69" t="s">
        <v>22</v>
      </c>
      <c r="O22" s="69"/>
      <c r="P22" s="21">
        <f>N27/E22</f>
        <v>1.153616430301986</v>
      </c>
    </row>
    <row r="23" spans="2:16" x14ac:dyDescent="0.25">
      <c r="B23" s="19"/>
      <c r="C23" s="19"/>
      <c r="D23" s="19"/>
      <c r="E23" s="19"/>
      <c r="F23" s="19"/>
      <c r="G23" s="19"/>
      <c r="H23" s="19"/>
      <c r="I23" s="19"/>
      <c r="J23" s="19"/>
      <c r="K23" s="19"/>
      <c r="L23" s="19"/>
      <c r="M23" s="1"/>
      <c r="N23" s="1"/>
      <c r="O23" s="1"/>
      <c r="P23" s="1"/>
    </row>
    <row r="24" spans="2:16" x14ac:dyDescent="0.25">
      <c r="B24" s="48" t="s">
        <v>46</v>
      </c>
      <c r="C24" s="48"/>
      <c r="D24" s="48"/>
      <c r="E24" s="48"/>
      <c r="F24" s="48"/>
      <c r="G24" s="48"/>
      <c r="H24" s="48"/>
      <c r="I24" s="19"/>
      <c r="J24" s="19"/>
      <c r="K24" s="19" t="s">
        <v>40</v>
      </c>
      <c r="L24" s="19"/>
      <c r="M24" s="1"/>
      <c r="N24" s="1"/>
      <c r="O24" s="1"/>
      <c r="P24" s="1"/>
    </row>
    <row r="25" spans="2:16" x14ac:dyDescent="0.25">
      <c r="B25" s="1"/>
      <c r="C25" s="1"/>
      <c r="D25" s="1"/>
      <c r="E25" s="1"/>
      <c r="F25" s="1"/>
      <c r="G25" s="1"/>
      <c r="H25" s="1"/>
      <c r="I25" s="1"/>
      <c r="J25" s="1"/>
      <c r="K25" s="1"/>
      <c r="L25" s="1"/>
      <c r="M25" s="1"/>
      <c r="N25" s="1"/>
      <c r="O25" s="1"/>
      <c r="P25" s="1"/>
    </row>
    <row r="26" spans="2:16" ht="26.25" x14ac:dyDescent="0.25">
      <c r="B26" s="35" t="s">
        <v>31</v>
      </c>
      <c r="C26" s="35"/>
      <c r="D26" s="40" t="s">
        <v>24</v>
      </c>
      <c r="E26" s="41"/>
      <c r="F26" s="42"/>
      <c r="G26" s="43">
        <v>367.5</v>
      </c>
      <c r="H26" s="44"/>
      <c r="I26" s="5" t="s">
        <v>27</v>
      </c>
      <c r="J26" s="12">
        <v>271</v>
      </c>
      <c r="K26" s="6" t="s">
        <v>29</v>
      </c>
      <c r="L26" s="2">
        <f>G26-J26</f>
        <v>96.5</v>
      </c>
      <c r="M26" s="35"/>
      <c r="N26" s="35"/>
      <c r="O26" s="35"/>
      <c r="P26" s="35"/>
    </row>
    <row r="27" spans="2:16" ht="63.4" customHeight="1" x14ac:dyDescent="0.25">
      <c r="B27" s="52" t="s">
        <v>37</v>
      </c>
      <c r="C27" s="53"/>
      <c r="D27" s="62" t="s">
        <v>25</v>
      </c>
      <c r="E27" s="63"/>
      <c r="F27" s="64"/>
      <c r="G27" s="57">
        <v>1036.67</v>
      </c>
      <c r="H27" s="58"/>
      <c r="I27" s="9" t="s">
        <v>28</v>
      </c>
      <c r="J27" s="33">
        <v>474.17</v>
      </c>
      <c r="K27" s="15" t="s">
        <v>35</v>
      </c>
      <c r="L27" s="16">
        <v>0</v>
      </c>
      <c r="M27" s="10" t="s">
        <v>36</v>
      </c>
      <c r="N27" s="3">
        <f>J27+L27</f>
        <v>474.17</v>
      </c>
      <c r="O27" s="8" t="s">
        <v>30</v>
      </c>
      <c r="P27" s="3">
        <f>G27-N27</f>
        <v>562.5</v>
      </c>
    </row>
    <row r="28" spans="2:16" x14ac:dyDescent="0.25">
      <c r="B28" s="35" t="s">
        <v>23</v>
      </c>
      <c r="C28" s="35"/>
      <c r="D28" s="54" t="s">
        <v>26</v>
      </c>
      <c r="E28" s="55"/>
      <c r="F28" s="56"/>
      <c r="G28" s="65">
        <v>36.299999999999997</v>
      </c>
      <c r="H28" s="66"/>
      <c r="I28" s="5"/>
      <c r="J28" s="7"/>
      <c r="K28" s="7"/>
      <c r="L28" s="5"/>
      <c r="M28" s="35"/>
      <c r="N28" s="35"/>
      <c r="O28" s="35"/>
      <c r="P28" s="35"/>
    </row>
    <row r="29" spans="2:16" x14ac:dyDescent="0.25">
      <c r="B29" s="27"/>
      <c r="C29" s="27"/>
      <c r="D29" s="27"/>
      <c r="E29" s="27"/>
      <c r="F29" s="27"/>
      <c r="G29" s="27"/>
      <c r="H29" s="27" t="s">
        <v>40</v>
      </c>
      <c r="I29" s="27"/>
      <c r="J29" s="27"/>
      <c r="K29" s="27"/>
      <c r="L29" s="27"/>
      <c r="M29" s="27"/>
      <c r="N29" s="27"/>
      <c r="O29" s="27"/>
      <c r="P29" s="27"/>
    </row>
    <row r="30" spans="2:16" ht="48.6" customHeight="1" x14ac:dyDescent="0.25">
      <c r="B30" s="45" t="s">
        <v>41</v>
      </c>
      <c r="C30" s="46"/>
      <c r="D30" s="46"/>
      <c r="E30" s="46"/>
      <c r="F30" s="46"/>
      <c r="G30" s="46"/>
      <c r="H30" s="46"/>
      <c r="I30" s="46"/>
      <c r="J30" s="46"/>
      <c r="K30" s="46"/>
      <c r="L30" s="46"/>
      <c r="M30" s="46"/>
      <c r="N30" s="46"/>
      <c r="O30" s="46"/>
      <c r="P30" s="47"/>
    </row>
    <row r="31" spans="2:16" ht="14.45" customHeight="1" x14ac:dyDescent="0.25"/>
    <row r="32" spans="2:16" ht="45.6" customHeight="1" x14ac:dyDescent="0.25">
      <c r="B32" s="45" t="s">
        <v>44</v>
      </c>
      <c r="C32" s="46"/>
      <c r="D32" s="46"/>
      <c r="E32" s="46"/>
      <c r="F32" s="46"/>
      <c r="G32" s="46"/>
      <c r="H32" s="46"/>
      <c r="I32" s="46"/>
      <c r="J32" s="46"/>
      <c r="K32" s="46"/>
      <c r="L32" s="46"/>
      <c r="M32" s="46"/>
      <c r="N32" s="46"/>
      <c r="O32" s="46"/>
      <c r="P32" s="47"/>
    </row>
  </sheetData>
  <mergeCells count="35">
    <mergeCell ref="B1:P1"/>
    <mergeCell ref="L7:P7"/>
    <mergeCell ref="L8:P8"/>
    <mergeCell ref="B9:J9"/>
    <mergeCell ref="C12:E12"/>
    <mergeCell ref="F12:L12"/>
    <mergeCell ref="B10:D10"/>
    <mergeCell ref="M12:P13"/>
    <mergeCell ref="B12:B13"/>
    <mergeCell ref="B32:P32"/>
    <mergeCell ref="B24:H24"/>
    <mergeCell ref="M17:P17"/>
    <mergeCell ref="M14:P14"/>
    <mergeCell ref="M16:P16"/>
    <mergeCell ref="M15:P15"/>
    <mergeCell ref="B27:C27"/>
    <mergeCell ref="D28:F28"/>
    <mergeCell ref="G27:H27"/>
    <mergeCell ref="F22:I22"/>
    <mergeCell ref="D27:F27"/>
    <mergeCell ref="G28:H28"/>
    <mergeCell ref="M18:P18"/>
    <mergeCell ref="N22:O22"/>
    <mergeCell ref="K21:L21"/>
    <mergeCell ref="B30:P30"/>
    <mergeCell ref="K22:L22"/>
    <mergeCell ref="M26:P26"/>
    <mergeCell ref="F21:I21"/>
    <mergeCell ref="M28:P28"/>
    <mergeCell ref="B28:C28"/>
    <mergeCell ref="B21:D21"/>
    <mergeCell ref="D26:F26"/>
    <mergeCell ref="B26:C26"/>
    <mergeCell ref="B22:D22"/>
    <mergeCell ref="G26:H26"/>
  </mergeCells>
  <pageMargins left="0.25" right="0.25" top="0.75" bottom="0.75" header="0.3" footer="0.3"/>
  <pageSetup scale="65" orientation="landscape" r:id="rId1"/>
  <drawing r:id="rId2"/>
  <legacyDrawing r:id="rId3"/>
  <oleObjects>
    <mc:AlternateContent xmlns:mc="http://schemas.openxmlformats.org/markup-compatibility/2006">
      <mc:Choice Requires="x14">
        <oleObject progId="CorelDRAW.Graphic.13" shapeId="1026" r:id="rId4">
          <objectPr defaultSize="0" autoPict="0" r:id="rId5">
            <anchor moveWithCells="1" sizeWithCells="1">
              <from>
                <xdr:col>1</xdr:col>
                <xdr:colOff>95250</xdr:colOff>
                <xdr:row>1</xdr:row>
                <xdr:rowOff>57150</xdr:rowOff>
              </from>
              <to>
                <xdr:col>16</xdr:col>
                <xdr:colOff>47625</xdr:colOff>
                <xdr:row>5</xdr:row>
                <xdr:rowOff>9525</xdr:rowOff>
              </to>
            </anchor>
          </objectPr>
        </oleObject>
      </mc:Choice>
      <mc:Fallback>
        <oleObject progId="CorelDRAW.Graphic.13" shapeId="102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USER</dc:creator>
  <cp:lastModifiedBy>shiroro control room</cp:lastModifiedBy>
  <cp:lastPrinted>2021-12-01T13:29:56Z</cp:lastPrinted>
  <dcterms:created xsi:type="dcterms:W3CDTF">2019-06-08T09:58:21Z</dcterms:created>
  <dcterms:modified xsi:type="dcterms:W3CDTF">2026-08-13T07:48:17Z</dcterms:modified>
</cp:coreProperties>
</file>